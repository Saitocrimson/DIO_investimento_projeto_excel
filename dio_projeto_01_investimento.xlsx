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>
    <definedName name="patrimonio">'Página1'!$E$20</definedName>
    <definedName name="taxa_mensal">'Página1'!$E$19</definedName>
    <definedName name="qtd_anos">'Página1'!$E$18</definedName>
    <definedName name="rendimento_carteira">'Página1'!$E$12</definedName>
    <definedName name="aporte">'Página1'!$E$17</definedName>
    <definedName name="sugestao_inestimento">'Página1'!$E$13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tc={87822aee-822c-4c22-a994-304b67d45736}</author>
    <author>tc={e8274f2e-abd0-46c9-b9aa-f291951dbd4b}</author>
  </authors>
  <commentList>
    <comment authorId="0" xr:uid="{87822aee-822c-4c22-a994-304b67d45736}" ref="G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arrumar depois, banner
</t>
      </text>
    </comment>
    <comment authorId="1" xr:uid="{e8274f2e-abd0-46c9-b9aa-f291951dbd4b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arrumar depois, banner
</t>
      </text>
    </comment>
  </commentList>
</comments>
</file>

<file path=xl/sharedStrings.xml><?xml version="1.0" encoding="utf-8"?>
<sst xmlns="http://schemas.openxmlformats.org/spreadsheetml/2006/main" count="70" uniqueCount="36">
  <si>
    <t>CHAVE</t>
  </si>
  <si>
    <t>perfil</t>
  </si>
  <si>
    <t>tipo de FII</t>
  </si>
  <si>
    <t>%</t>
  </si>
  <si>
    <t>Conservador</t>
  </si>
  <si>
    <t>Papel</t>
  </si>
  <si>
    <t>moderado-Tijolo</t>
  </si>
  <si>
    <t>Tijolo</t>
  </si>
  <si>
    <t>Hibridos</t>
  </si>
  <si>
    <t>FOF'S</t>
  </si>
  <si>
    <t>Desenvolvimento</t>
  </si>
  <si>
    <t>Hotelarias</t>
  </si>
  <si>
    <t>Moderado</t>
  </si>
  <si>
    <t>agressivo</t>
  </si>
  <si>
    <t>Configurações</t>
  </si>
  <si>
    <t>salário</t>
  </si>
  <si>
    <t>rendimento carteira</t>
  </si>
  <si>
    <t>sugesttão de investimento</t>
  </si>
  <si>
    <t>investimento mensal</t>
  </si>
  <si>
    <t>Quanto investir por mês;</t>
  </si>
  <si>
    <t>Por quantos anos;</t>
  </si>
  <si>
    <t>Qual a taxa de rendimento mensal;</t>
  </si>
  <si>
    <t>Quanto de patrimônio vai acumular?</t>
  </si>
  <si>
    <t>Quanto vai receber de dividendos por mês?</t>
  </si>
  <si>
    <t>Cenários</t>
  </si>
  <si>
    <t>dividendo</t>
  </si>
  <si>
    <t>Quantos em 2 anos?</t>
  </si>
  <si>
    <t>Quantos em 5 anos?</t>
  </si>
  <si>
    <t>Quantos em 10 anos?</t>
  </si>
  <si>
    <t>Quantos em 20 anos ?</t>
  </si>
  <si>
    <t>Quantos em 30 anos?</t>
  </si>
  <si>
    <t>Perfil</t>
  </si>
  <si>
    <t>Valor a ser investido por mês</t>
  </si>
  <si>
    <t>Tipo de FII</t>
  </si>
  <si>
    <t>Percentual Sugerido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</si>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</sst>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0.0%"/>
  </numFmts>
  <fonts count="15">
    <font>
      <sz val="10.0"/>
      <color rgb="FF000000"/>
      <name val="Arial"/>
      <scheme val="minor"/>
    </font>
    <font>
      <sz val="12.0"/>
      <color rgb="FFFFFFFF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b/>
      <sz val="20.0"/>
      <color rgb="FFF3F3F3"/>
      <name val="Arial"/>
      <scheme val="minor"/>
    </font>
    <font/>
    <font>
      <b/>
      <sz val="20.0"/>
      <color rgb="FFEFEFEF"/>
      <name val="Arial"/>
      <scheme val="minor"/>
    </font>
    <font>
      <sz val="20.0"/>
      <color theme="1"/>
      <name val="Arial"/>
      <scheme val="minor"/>
    </font>
    <font>
      <sz val="11.0"/>
      <color rgb="FF23282C"/>
      <name val="-apple-system"/>
    </font>
    <font>
      <sz val="12.0"/>
      <color rgb="FF23282C"/>
      <name val="-apple-system"/>
    </font>
    <font>
      <b/>
      <sz val="12.0"/>
      <color rgb="FF23282C"/>
      <name val="Arial"/>
    </font>
    <font>
      <sz val="11.0"/>
      <color rgb="FF23282C"/>
      <name val="Arial"/>
    </font>
    <font>
      <b/>
      <sz val="20.0"/>
      <color rgb="FFEFEFEF"/>
      <name val="Arial"/>
    </font>
    <font>
      <b/>
      <sz val="12.0"/>
      <color rgb="FFEFEFE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</fills>
  <borders count="14">
    <border/>
    <border>
      <top style="thin">
        <color rgb="FF000000"/>
      </top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434343"/>
      </left>
    </border>
    <border>
      <right style="thin">
        <color rgb="FF434343"/>
      </right>
    </border>
    <border>
      <left style="thin">
        <color rgb="FF434343"/>
      </left>
      <bottom style="thin">
        <color rgb="FF434343"/>
      </bottom>
    </border>
    <border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3" fontId="3" numFmtId="9" xfId="0" applyFill="1" applyFont="1" applyNumberFormat="1"/>
    <xf borderId="0" fillId="0" fontId="4" numFmtId="0" xfId="0" applyAlignment="1" applyFont="1">
      <alignment horizontal="center" readingOrder="0"/>
    </xf>
    <xf borderId="0" fillId="0" fontId="4" numFmtId="9" xfId="0" applyAlignment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9" xfId="0" applyAlignment="1" applyBorder="1" applyFont="1" applyNumberFormat="1">
      <alignment horizontal="center" readingOrder="0"/>
    </xf>
    <xf borderId="2" fillId="4" fontId="5" numFmtId="0" xfId="0" applyAlignment="1" applyBorder="1" applyFill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5" fillId="0" fontId="4" numFmtId="0" xfId="0" applyAlignment="1" applyBorder="1" applyFont="1">
      <alignment readingOrder="0"/>
    </xf>
    <xf borderId="0" fillId="0" fontId="3" numFmtId="164" xfId="0" applyAlignment="1" applyFont="1" applyNumberFormat="1">
      <alignment readingOrder="0"/>
    </xf>
    <xf borderId="6" fillId="0" fontId="3" numFmtId="164" xfId="0" applyAlignment="1" applyBorder="1" applyFont="1" applyNumberFormat="1">
      <alignment readingOrder="0"/>
    </xf>
    <xf borderId="0" fillId="0" fontId="3" numFmtId="165" xfId="0" applyAlignment="1" applyFont="1" applyNumberFormat="1">
      <alignment readingOrder="0"/>
    </xf>
    <xf borderId="6" fillId="0" fontId="3" numFmtId="165" xfId="0" applyAlignment="1" applyBorder="1" applyFont="1" applyNumberFormat="1">
      <alignment readingOrder="0"/>
    </xf>
    <xf borderId="7" fillId="0" fontId="4" numFmtId="0" xfId="0" applyAlignment="1" applyBorder="1" applyFont="1">
      <alignment readingOrder="0"/>
    </xf>
    <xf borderId="8" fillId="0" fontId="3" numFmtId="0" xfId="0" applyBorder="1" applyFont="1"/>
    <xf borderId="9" fillId="0" fontId="3" numFmtId="164" xfId="0" applyBorder="1" applyFont="1" applyNumberFormat="1"/>
    <xf borderId="2" fillId="5" fontId="7" numFmtId="0" xfId="0" applyAlignment="1" applyBorder="1" applyFill="1" applyFont="1">
      <alignment horizontal="center" readingOrder="0"/>
    </xf>
    <xf borderId="0" fillId="0" fontId="8" numFmtId="0" xfId="0" applyAlignment="1" applyFont="1">
      <alignment readingOrder="0"/>
    </xf>
    <xf borderId="0" fillId="6" fontId="9" numFmtId="0" xfId="0" applyAlignment="1" applyFill="1" applyFont="1">
      <alignment horizontal="left" readingOrder="0"/>
    </xf>
    <xf borderId="2" fillId="6" fontId="10" numFmtId="0" xfId="0" applyAlignment="1" applyBorder="1" applyFill="1" applyFont="1">
      <alignment horizontal="left" readingOrder="0"/>
    </xf>
    <xf borderId="4" fillId="0" fontId="3" numFmtId="164" xfId="0" applyAlignment="1" applyBorder="1" applyFont="1" applyNumberFormat="1">
      <alignment horizontal="center" readingOrder="0"/>
    </xf>
    <xf borderId="5" fillId="6" fontId="10" numFmtId="0" xfId="0" applyAlignment="1" applyBorder="1" applyFill="1" applyFont="1">
      <alignment horizontal="left" readingOrder="0"/>
    </xf>
    <xf borderId="6" fillId="0" fontId="6" numFmtId="0" xfId="0" applyBorder="1" applyFont="1"/>
    <xf borderId="6" fillId="0" fontId="3" numFmtId="3" xfId="0" applyAlignment="1" applyBorder="1" applyFont="1" applyNumberFormat="1">
      <alignment horizontal="center" readingOrder="0"/>
    </xf>
    <xf borderId="6" fillId="0" fontId="3" numFmtId="10" xfId="0" applyAlignment="1" applyBorder="1" applyFont="1" applyNumberFormat="1">
      <alignment horizontal="center" readingOrder="0"/>
    </xf>
    <xf borderId="5" fillId="7" fontId="11" numFmtId="0" xfId="0" applyAlignment="1" applyBorder="1" applyFill="1" applyFont="1">
      <alignment horizontal="left" readingOrder="0"/>
    </xf>
    <xf borderId="6" fillId="7" fontId="3" numFmtId="164" xfId="0" applyAlignment="1" applyBorder="1" applyFill="1" applyFont="1" applyNumberFormat="1">
      <alignment horizontal="center"/>
    </xf>
    <xf borderId="0" fillId="6" fontId="12" numFmtId="0" xfId="0" applyAlignment="1" applyFill="1" applyFont="1">
      <alignment horizontal="left" readingOrder="0"/>
    </xf>
    <xf borderId="7" fillId="7" fontId="11" numFmtId="0" xfId="0" applyAlignment="1" applyBorder="1" applyFill="1" applyFont="1">
      <alignment horizontal="left" readingOrder="0"/>
    </xf>
    <xf borderId="8" fillId="0" fontId="6" numFmtId="0" xfId="0" applyBorder="1" applyFont="1"/>
    <xf borderId="9" fillId="0" fontId="6" numFmtId="0" xfId="0" applyBorder="1" applyFont="1"/>
    <xf borderId="9" fillId="7" fontId="3" numFmtId="164" xfId="0" applyAlignment="1" applyBorder="1" applyFill="1" applyFont="1" applyNumberFormat="1">
      <alignment horizontal="center"/>
    </xf>
    <xf borderId="2" fillId="5" fontId="13" numFmtId="0" xfId="0" applyAlignment="1" applyBorder="1" applyFill="1" applyFont="1">
      <alignment horizontal="center" readingOrder="0" vertical="bottom"/>
    </xf>
    <xf borderId="4" fillId="5" fontId="14" numFmtId="0" xfId="0" applyAlignment="1" applyBorder="1" applyFill="1" applyFont="1">
      <alignment readingOrder="0"/>
    </xf>
    <xf borderId="5" fillId="8" fontId="2" numFmtId="0" xfId="0" applyAlignment="1" applyBorder="1" applyFill="1" applyFont="1">
      <alignment readingOrder="0"/>
    </xf>
    <xf borderId="0" fillId="8" fontId="3" numFmtId="0" xfId="0" applyAlignment="1" applyFill="1" applyFont="1">
      <alignment horizontal="center"/>
    </xf>
    <xf borderId="6" fillId="8" fontId="3" numFmtId="164" xfId="0" applyAlignment="1" applyBorder="1" applyFill="1" applyFont="1" applyNumberFormat="1">
      <alignment horizontal="center"/>
    </xf>
    <xf borderId="10" fillId="8" fontId="3" numFmtId="164" xfId="0" applyAlignment="1" applyBorder="1" applyFill="1" applyFont="1" applyNumberFormat="1">
      <alignment horizontal="center"/>
    </xf>
    <xf borderId="0" fillId="8" fontId="3" numFmtId="0" xfId="0" applyAlignment="1" applyFill="1" applyFont="1">
      <alignment horizontal="center" readingOrder="0"/>
    </xf>
    <xf borderId="6" fillId="8" fontId="3" numFmtId="164" xfId="0" applyAlignment="1" applyBorder="1" applyFill="1" applyFont="1" applyNumberFormat="1">
      <alignment horizontal="center" readingOrder="0"/>
    </xf>
    <xf borderId="7" fillId="8" fontId="2" numFmtId="0" xfId="0" applyAlignment="1" applyBorder="1" applyFill="1" applyFont="1">
      <alignment readingOrder="0"/>
    </xf>
    <xf borderId="8" fillId="8" fontId="3" numFmtId="0" xfId="0" applyAlignment="1" applyBorder="1" applyFill="1" applyFont="1">
      <alignment horizontal="center"/>
    </xf>
    <xf borderId="9" fillId="8" fontId="3" numFmtId="164" xfId="0" applyAlignment="1" applyBorder="1" applyFill="1" applyFont="1" applyNumberFormat="1">
      <alignment horizontal="center"/>
    </xf>
    <xf borderId="11" fillId="8" fontId="3" numFmtId="164" xfId="0" applyAlignment="1" applyBorder="1" applyFill="1" applyFont="1" applyNumberFormat="1">
      <alignment horizontal="center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2" numFmtId="0" xfId="0" applyFont="1"/>
    <xf borderId="12" fillId="9" fontId="2" numFmtId="0" xfId="0" applyAlignment="1" applyBorder="1" applyFill="1" applyFont="1">
      <alignment horizontal="center" readingOrder="0"/>
    </xf>
    <xf borderId="13" fillId="0" fontId="2" numFmtId="0" xfId="0" applyAlignment="1" applyBorder="1" applyFont="1">
      <alignment readingOrder="0"/>
    </xf>
    <xf borderId="13" fillId="0" fontId="3" numFmtId="9" xfId="0" applyAlignment="1" applyBorder="1" applyFont="1" applyNumberFormat="1">
      <alignment horizontal="center" readingOrder="0"/>
    </xf>
    <xf borderId="13" fillId="0" fontId="3" numFmtId="164" xfId="0" applyAlignment="1" applyBorder="1" applyFont="1" applyNumberFormat="1">
      <alignment horizontal="center"/>
    </xf>
    <xf borderId="1" fillId="0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666666"/>
                </a:solidFill>
                <a:latin typeface="+mn-lt"/>
              </a:defRPr>
            </a:pPr>
            <a:r>
              <a:rPr b="1">
                <a:solidFill>
                  <a:srgbClr val="666666"/>
                </a:solidFill>
                <a:latin typeface="+mn-lt"/>
              </a:rPr>
              <a:t>Percentual sugerido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'Página1'!$C$36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'Página1'!$B$37:$B$42</c:f>
            </c:strRef>
          </c:cat>
          <c:val>
            <c:numRef>
              <c:f>'Página1'!$C$37:$C$42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0" sz="1400">
              <a:solidFill>
                <a:srgbClr val="434343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43</xdr:row>
      <xdr:rowOff>161925</xdr:rowOff>
    </xdr:from>
    <xdr:ext cx="6115050" cy="40005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504825</xdr:colOff>
      <xdr:row>0</xdr:row>
      <xdr:rowOff>19050</xdr:rowOff>
    </xdr:from>
    <xdr:ext cx="8477250" cy="15049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mily saito" id="{53a514b3-5afe-466c-beb4-1ad099ecb05a}" providerId="google-sheets"/>
</x18tc:personList>
</file>

<file path=xl/tables/table1.xml><?xml version="1.0" encoding="utf-8"?>
<table xmlns="http://schemas.openxmlformats.org/spreadsheetml/2006/main" headerRowCount="0" ref="B32:D33" displayName="Table_1" name="Table_1" id="1">
  <tableColumns count="3">
    <tableColumn name="Column1" id="1"/>
    <tableColumn name="Column2" id="2"/>
    <tableColumn name="Column3" id="3"/>
  </tableColumns>
  <tableStyleInfo name="Págin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5" dT="2026-10-08T17:29:22.00" personId="{53a514b3-5afe-466c-beb4-1ad099ecb05a}" id="{87822aee-822c-4c22-a994-304b67d45736}" done="1">
    <x18tc:text xml:space="preserve">arrumar depois, banner</x18tc:text>
  </x18tc:threadedComment>
  <x18tc:threadedComment ref="G1" dT="2026-10-08T17:29:56.00" personId="{53a514b3-5afe-466c-beb4-1ad099ecb05a}" id="{e8274f2e-abd0-46c9-b9aa-f291951dbd4b}" done="0">
    <x18tc:text xml:space="preserve">arrumar depois, banner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88"/>
    <col customWidth="1" min="2" max="2" width="39.88"/>
    <col customWidth="1" min="3" max="4" width="21.38"/>
    <col customWidth="1" min="5" max="5" width="14.13"/>
    <col customWidth="1" min="8" max="8" width="17.88"/>
    <col customWidth="1" min="9" max="9" width="16.13"/>
    <col hidden="1" min="14" max="28" width="12.63"/>
  </cols>
  <sheetData>
    <row r="10">
      <c r="B10" s="10" t="s">
        <v>14</v>
      </c>
      <c r="C10" s="11"/>
      <c r="D10" s="11"/>
      <c r="E10" s="12"/>
    </row>
    <row r="11">
      <c r="B11" s="13" t="s">
        <v>15</v>
      </c>
      <c r="C11" s="14"/>
      <c r="D11" s="14"/>
      <c r="E11" s="15">
        <v>4200.0</v>
      </c>
    </row>
    <row r="12">
      <c r="B12" s="13" t="s">
        <v>16</v>
      </c>
      <c r="C12" s="16"/>
      <c r="D12" s="16"/>
      <c r="E12" s="17">
        <v>0.006</v>
      </c>
    </row>
    <row r="13">
      <c r="B13" s="18" t="s">
        <v>17</v>
      </c>
      <c r="C13" s="19"/>
      <c r="D13" s="19"/>
      <c r="E13" s="20">
        <f>E11*30%</f>
        <v>1260</v>
      </c>
    </row>
    <row r="16">
      <c r="B16" s="21" t="s">
        <v>18</v>
      </c>
      <c r="C16" s="11"/>
      <c r="D16" s="11"/>
      <c r="E16" s="12"/>
      <c r="F16" s="22"/>
      <c r="G16" s="22"/>
    </row>
    <row r="17">
      <c r="A17" s="23"/>
      <c r="B17" s="24" t="s">
        <v>19</v>
      </c>
      <c r="C17" s="11"/>
      <c r="D17" s="12"/>
      <c r="E17" s="25">
        <v>1260.0</v>
      </c>
    </row>
    <row r="18">
      <c r="A18" s="23"/>
      <c r="B18" s="26" t="s">
        <v>20</v>
      </c>
      <c r="D18" s="27"/>
      <c r="E18" s="28">
        <v>10.0</v>
      </c>
    </row>
    <row r="19">
      <c r="A19" s="23"/>
      <c r="B19" s="26" t="s">
        <v>21</v>
      </c>
      <c r="D19" s="27"/>
      <c r="E19" s="29">
        <v>0.0108</v>
      </c>
    </row>
    <row r="20">
      <c r="A20" s="23"/>
      <c r="B20" s="30" t="s">
        <v>22</v>
      </c>
      <c r="D20" s="27"/>
      <c r="E20" s="31">
        <f>FV(taxa_mensal,qtd_anos*12,aporte*-1)</f>
        <v>306756.6595</v>
      </c>
    </row>
    <row r="21">
      <c r="A21" s="32"/>
      <c r="B21" s="33" t="s">
        <v>23</v>
      </c>
      <c r="C21" s="34"/>
      <c r="D21" s="35"/>
      <c r="E21" s="36">
        <f>patrimonio*rendimento_carteira</f>
        <v>1840.539957</v>
      </c>
    </row>
    <row r="24">
      <c r="B24" s="37" t="s">
        <v>24</v>
      </c>
      <c r="C24" s="11"/>
      <c r="D24" s="11"/>
      <c r="E24" s="11"/>
      <c r="F24" s="38" t="s">
        <v>25</v>
      </c>
    </row>
    <row r="25">
      <c r="B25" s="39" t="s">
        <v>26</v>
      </c>
      <c r="C25" s="40"/>
      <c r="D25" s="40"/>
      <c r="E25" s="41">
        <f>FV($E$19,12*2,E17*-1)</f>
        <v>34310.88821</v>
      </c>
      <c r="F25" s="42">
        <f>E25*rendimento_carteira</f>
        <v>205.8653293</v>
      </c>
    </row>
    <row r="26">
      <c r="B26" s="39" t="s">
        <v>27</v>
      </c>
      <c r="C26" s="43"/>
      <c r="D26" s="43"/>
      <c r="E26" s="44">
        <f>FV($E$19,12*5,E17*-1)</f>
        <v>105593.0644</v>
      </c>
      <c r="F26" s="42">
        <f>E26*rendimento_carteira</f>
        <v>633.5583864</v>
      </c>
    </row>
    <row r="27">
      <c r="B27" s="39" t="s">
        <v>28</v>
      </c>
      <c r="C27" s="40"/>
      <c r="D27" s="40"/>
      <c r="E27" s="41">
        <f>FV($E$19,12*10,E17*-1)</f>
        <v>306756.6595</v>
      </c>
      <c r="F27" s="42">
        <f>E27*rendimento_carteira</f>
        <v>1840.539957</v>
      </c>
    </row>
    <row r="28">
      <c r="B28" s="39" t="s">
        <v>29</v>
      </c>
      <c r="C28" s="40"/>
      <c r="D28" s="40"/>
      <c r="E28" s="41">
        <f>FV($E$19,12*20,E17*-1)</f>
        <v>1420081.732</v>
      </c>
      <c r="F28" s="42">
        <f>E28*rendimento_carteira</f>
        <v>8520.490389</v>
      </c>
    </row>
    <row r="29">
      <c r="B29" s="45" t="s">
        <v>30</v>
      </c>
      <c r="C29" s="46"/>
      <c r="D29" s="46"/>
      <c r="E29" s="47">
        <f>FV($E$19,12*30,E17*-1)</f>
        <v>5460720.061</v>
      </c>
      <c r="F29" s="48">
        <f>E29*rendimento_carteira</f>
        <v>32764.32037</v>
      </c>
    </row>
    <row r="32">
      <c r="B32" s="49" t="s">
        <v>31</v>
      </c>
      <c r="C32" s="49" t="s">
        <v>12</v>
      </c>
      <c r="D32" s="49"/>
    </row>
    <row r="33">
      <c r="B33" s="49" t="s">
        <v>32</v>
      </c>
      <c r="C33" s="50">
        <f>aporte</f>
        <v>1260</v>
      </c>
    </row>
    <row r="35">
      <c r="C35" s="51"/>
      <c r="D35" s="51"/>
    </row>
    <row r="36">
      <c r="B36" s="52" t="s">
        <v>33</v>
      </c>
      <c r="C36" s="52" t="s">
        <v>34</v>
      </c>
      <c r="D36" s="52" t="s">
        <v>35</v>
      </c>
      <c r="E36" s="4"/>
    </row>
    <row r="37">
      <c r="B37" s="53" t="s">
        <v>5</v>
      </c>
      <c r="C37" s="54">
        <f>VLOOKUP($C$32&amp;"-"&amp;B37,'Página2'!$A1:$D19,4,false)</f>
        <v>0.32</v>
      </c>
      <c r="D37" s="55">
        <f t="shared" ref="D37:D42" si="1">C37*$C$33</f>
        <v>403.2</v>
      </c>
    </row>
    <row r="38">
      <c r="B38" s="53" t="s">
        <v>7</v>
      </c>
      <c r="C38" s="54">
        <f>VLOOKUP($C$32&amp;"-"&amp;B38,'Página2'!$A2:$D20,4,false)</f>
        <v>0.35</v>
      </c>
      <c r="D38" s="55">
        <f t="shared" si="1"/>
        <v>441</v>
      </c>
    </row>
    <row r="39">
      <c r="B39" s="53" t="s">
        <v>8</v>
      </c>
      <c r="C39" s="54">
        <f>VLOOKUP($C$32&amp;"-"&amp;B39,'Página2'!$A3:$D21,4,false)</f>
        <v>0.08</v>
      </c>
      <c r="D39" s="55">
        <f t="shared" si="1"/>
        <v>100.8</v>
      </c>
    </row>
    <row r="40">
      <c r="B40" s="53" t="s">
        <v>9</v>
      </c>
      <c r="C40" s="54">
        <f>VLOOKUP($C$32&amp;"-"&amp;B40,'Página2'!$A4:$D22,4,false)</f>
        <v>0.05</v>
      </c>
      <c r="D40" s="55">
        <f t="shared" si="1"/>
        <v>63</v>
      </c>
    </row>
    <row r="41">
      <c r="B41" s="53" t="s">
        <v>10</v>
      </c>
      <c r="C41" s="54">
        <f>VLOOKUP($C$32&amp;"-"&amp;B41,'Página2'!$A5:$D23,4,false)</f>
        <v>0.1</v>
      </c>
      <c r="D41" s="55">
        <f t="shared" si="1"/>
        <v>126</v>
      </c>
    </row>
    <row r="42">
      <c r="B42" s="53" t="s">
        <v>11</v>
      </c>
      <c r="C42" s="54">
        <f>VLOOKUP($C$32&amp;"-"&amp;B42,'Página2'!$A6:$D24,4,false)</f>
        <v>0.1</v>
      </c>
      <c r="D42" s="55">
        <f t="shared" si="1"/>
        <v>126</v>
      </c>
    </row>
    <row r="43">
      <c r="B43" s="56"/>
      <c r="C43" s="56"/>
      <c r="D43" s="56"/>
    </row>
  </sheetData>
  <mergeCells count="8">
    <mergeCell ref="B10:E10"/>
    <mergeCell ref="B16:E16"/>
    <mergeCell ref="B17:D17"/>
    <mergeCell ref="B18:D18"/>
    <mergeCell ref="B19:D19"/>
    <mergeCell ref="B20:D20"/>
    <mergeCell ref="B21:D21"/>
    <mergeCell ref="B24:E24"/>
  </mergeCells>
  <dataValidations>
    <dataValidation type="list" allowBlank="1" showErrorMessage="1" sqref="C32">
      <formula1>"Conservador,Moderado,Agressivo"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3" max="3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tr">
        <f t="shared" ref="A2:A19" si="1">B2&amp;"-"&amp;C2</f>
        <v>Conservador-Papel</v>
      </c>
      <c r="B2" s="2" t="s">
        <v>4</v>
      </c>
      <c r="C2" s="2" t="s">
        <v>5</v>
      </c>
      <c r="D2" s="3">
        <v>0.3</v>
      </c>
      <c r="F2" s="4" t="s">
        <v>6</v>
      </c>
      <c r="G2" s="5">
        <f>VLOOKUP(F2,$A:$D,4,false)</f>
        <v>0.35</v>
      </c>
    </row>
    <row r="3">
      <c r="A3" s="6" t="str">
        <f t="shared" si="1"/>
        <v>Conservador-Tijolo</v>
      </c>
      <c r="B3" s="6" t="s">
        <v>4</v>
      </c>
      <c r="C3" s="6" t="s">
        <v>7</v>
      </c>
      <c r="D3" s="7">
        <v>0.5</v>
      </c>
    </row>
    <row r="4">
      <c r="A4" s="6" t="str">
        <f t="shared" si="1"/>
        <v>Conservador-Hibridos</v>
      </c>
      <c r="B4" s="6" t="s">
        <v>4</v>
      </c>
      <c r="C4" s="6" t="s">
        <v>8</v>
      </c>
      <c r="D4" s="7">
        <v>0.1</v>
      </c>
    </row>
    <row r="5">
      <c r="A5" s="6" t="str">
        <f t="shared" si="1"/>
        <v>Conservador-FOF'S</v>
      </c>
      <c r="B5" s="6" t="s">
        <v>4</v>
      </c>
      <c r="C5" s="6" t="s">
        <v>9</v>
      </c>
      <c r="D5" s="7">
        <v>0.1</v>
      </c>
    </row>
    <row r="6">
      <c r="A6" s="6" t="str">
        <f t="shared" si="1"/>
        <v>Conservador-Desenvolvimento</v>
      </c>
      <c r="B6" s="6" t="s">
        <v>4</v>
      </c>
      <c r="C6" s="6" t="s">
        <v>10</v>
      </c>
      <c r="D6" s="7">
        <v>0.0</v>
      </c>
    </row>
    <row r="7">
      <c r="A7" s="6" t="str">
        <f t="shared" si="1"/>
        <v>Conservador-Hotelarias</v>
      </c>
      <c r="B7" s="6" t="s">
        <v>4</v>
      </c>
      <c r="C7" s="6" t="s">
        <v>11</v>
      </c>
      <c r="D7" s="7">
        <v>0.0</v>
      </c>
    </row>
    <row r="8">
      <c r="A8" s="8" t="str">
        <f t="shared" si="1"/>
        <v>Moderado-Papel</v>
      </c>
      <c r="B8" s="8" t="s">
        <v>12</v>
      </c>
      <c r="C8" s="8" t="s">
        <v>5</v>
      </c>
      <c r="D8" s="9">
        <v>0.32</v>
      </c>
    </row>
    <row r="9">
      <c r="A9" s="6" t="str">
        <f t="shared" si="1"/>
        <v>Moderado-Tijolo</v>
      </c>
      <c r="B9" s="6" t="s">
        <v>12</v>
      </c>
      <c r="C9" s="6" t="s">
        <v>7</v>
      </c>
      <c r="D9" s="7">
        <v>0.35</v>
      </c>
    </row>
    <row r="10">
      <c r="A10" s="6" t="str">
        <f t="shared" si="1"/>
        <v>Moderado-Hibridos</v>
      </c>
      <c r="B10" s="6" t="s">
        <v>12</v>
      </c>
      <c r="C10" s="6" t="s">
        <v>8</v>
      </c>
      <c r="D10" s="7">
        <v>0.08</v>
      </c>
    </row>
    <row r="11">
      <c r="A11" s="6" t="str">
        <f t="shared" si="1"/>
        <v>Moderado-FOF'S</v>
      </c>
      <c r="B11" s="6" t="s">
        <v>12</v>
      </c>
      <c r="C11" s="6" t="s">
        <v>9</v>
      </c>
      <c r="D11" s="7">
        <v>0.05</v>
      </c>
    </row>
    <row r="12">
      <c r="A12" s="6" t="str">
        <f t="shared" si="1"/>
        <v>Moderado-Desenvolvimento</v>
      </c>
      <c r="B12" s="6" t="s">
        <v>12</v>
      </c>
      <c r="C12" s="6" t="s">
        <v>10</v>
      </c>
      <c r="D12" s="7">
        <v>0.1</v>
      </c>
    </row>
    <row r="13">
      <c r="A13" s="6" t="str">
        <f t="shared" si="1"/>
        <v>Moderado-Hotelarias</v>
      </c>
      <c r="B13" s="6" t="s">
        <v>12</v>
      </c>
      <c r="C13" s="6" t="s">
        <v>11</v>
      </c>
      <c r="D13" s="7">
        <v>0.1</v>
      </c>
    </row>
    <row r="14">
      <c r="A14" s="8" t="str">
        <f t="shared" si="1"/>
        <v>agressivo-Papel</v>
      </c>
      <c r="B14" s="8" t="s">
        <v>13</v>
      </c>
      <c r="C14" s="8" t="s">
        <v>5</v>
      </c>
      <c r="D14" s="9">
        <v>0.5</v>
      </c>
    </row>
    <row r="15">
      <c r="A15" s="6" t="str">
        <f t="shared" si="1"/>
        <v>agressivo-Tijolo</v>
      </c>
      <c r="B15" s="6" t="s">
        <v>13</v>
      </c>
      <c r="C15" s="6" t="s">
        <v>7</v>
      </c>
      <c r="D15" s="7">
        <v>0.1</v>
      </c>
    </row>
    <row r="16">
      <c r="A16" s="6" t="str">
        <f t="shared" si="1"/>
        <v>agressivo-Hibridos</v>
      </c>
      <c r="B16" s="6" t="s">
        <v>13</v>
      </c>
      <c r="C16" s="6" t="s">
        <v>8</v>
      </c>
      <c r="D16" s="7">
        <v>0.05</v>
      </c>
    </row>
    <row r="17">
      <c r="A17" s="6" t="str">
        <f t="shared" si="1"/>
        <v>agressivo-FOF'S</v>
      </c>
      <c r="B17" s="6" t="s">
        <v>13</v>
      </c>
      <c r="C17" s="6" t="s">
        <v>9</v>
      </c>
      <c r="D17" s="7">
        <v>0.05</v>
      </c>
    </row>
    <row r="18">
      <c r="A18" s="6" t="str">
        <f t="shared" si="1"/>
        <v>agressivo-Desenvolvimento</v>
      </c>
      <c r="B18" s="6" t="s">
        <v>13</v>
      </c>
      <c r="C18" s="6" t="s">
        <v>10</v>
      </c>
      <c r="D18" s="7">
        <v>0.2</v>
      </c>
    </row>
    <row r="19">
      <c r="A19" s="6" t="str">
        <f t="shared" si="1"/>
        <v>agressivo-Hotelarias</v>
      </c>
      <c r="B19" s="6" t="s">
        <v>13</v>
      </c>
      <c r="C19" s="6" t="s">
        <v>11</v>
      </c>
      <c r="D19" s="7">
        <v>0.1</v>
      </c>
    </row>
  </sheetData>
  <drawing r:id="rId1"/>
</worksheet>
</file>